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or\Desktop\ITMO\3-course\Optimization methods\lab1\"/>
    </mc:Choice>
  </mc:AlternateContent>
  <xr:revisionPtr revIDLastSave="0" documentId="8_{1FFE9302-D63A-4D7A-901A-9037323C4492}" xr6:coauthVersionLast="47" xr6:coauthVersionMax="47" xr10:uidLastSave="{00000000-0000-0000-0000-000000000000}"/>
  <bookViews>
    <workbookView xWindow="-110" yWindow="-110" windowWidth="25420" windowHeight="16300" xr2:uid="{A1414973-7F00-4E7F-9D0B-FD016158FF06}"/>
  </bookViews>
  <sheets>
    <sheet name="Лист1" sheetId="1" r:id="rId1"/>
  </sheets>
  <definedNames>
    <definedName name="solver_adj" localSheetId="0" hidden="1">Лист1!$A$2:$D$2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Лист1!$H$2</definedName>
    <definedName name="solver_lhs2" localSheetId="0" hidden="1">Лист1!$H$3</definedName>
    <definedName name="solver_lhs3" localSheetId="0" hidden="1">Лист1!$H$4</definedName>
    <definedName name="solver_lhs4" localSheetId="0" hidden="1">Лист1!$H$5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Лист1!$E$2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el4" localSheetId="0" hidden="1">3</definedName>
    <definedName name="solver_rhs1" localSheetId="0" hidden="1">9</definedName>
    <definedName name="solver_rhs2" localSheetId="0" hidden="1">7</definedName>
    <definedName name="solver_rhs3" localSheetId="0" hidden="1">3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H3" i="1"/>
  <c r="H4" i="1"/>
  <c r="H2" i="1"/>
  <c r="I4" i="1"/>
  <c r="I3" i="1"/>
  <c r="I2" i="1"/>
  <c r="E2" i="1"/>
</calcChain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<sst xmlns="http://schemas.openxmlformats.org/spreadsheetml/2006/main" count="10" uniqueCount="10">
  <si>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</si>
  <si>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</si>
  <si>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</si>
  <si>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</si>
  <si>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Z</t>
  </si>
  <si>
    <t>Ограничения</t>
  </si>
  <si>
    <t>x₁ + x₂ + x₃ ≤ 9</t>
  </si>
  <si>
    <t>x₂ + 2x₃ + x₄ = 7</t>
  </si>
  <si>
    <t>x₁ + x₄ ≥ 3</t>
  </si>
  <si>
    <t>x₁ + x₂ + x₃ + x₄ ≥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</si>
</sst>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0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50E5-F395-4D44-9AA1-ADF0E50CC8E6}">
  <dimension ref="A1:I5"/>
  <sheetViews>
    <sheetView tabSelected="1" workbookViewId="0">
      <selection activeCell="O12" sqref="O12"/>
    </sheetView>
  </sheetViews>
  <sheetFormatPr defaultRowHeight="14.5"/>
  <cols>
    <col min="7" max="7" width="22.54296875" customWidth="1"/>
    <col min="8" max="8" width="12.1796875" customWidth="1"/>
    <col min="9" max="9" width="12.08984375" customWidth="1"/>
  </cols>
  <sheetData>
    <row r="1" spans="1:9" ht="19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6" t="s">
        <v>5</v>
      </c>
      <c r="H1" s="6"/>
      <c r="I1" s="6"/>
    </row>
    <row r="2" spans="1:9" ht="19" customHeight="1">
      <c r="A2" s="5">
        <v>9</v>
      </c>
      <c r="B2" s="5">
        <v>0</v>
      </c>
      <c r="C2" s="5">
        <v>0</v>
      </c>
      <c r="D2" s="5">
        <v>7</v>
      </c>
      <c r="E2" s="4">
        <f>4*A2+B2+2*C2+3*D2</f>
        <v>57</v>
      </c>
      <c r="G2" s="7" t="s">
        <v>6</v>
      </c>
      <c r="H2" s="1">
        <f>A2+B2+C2</f>
        <v>9</v>
      </c>
      <c r="I2" s="3" t="b">
        <f>A2+B2+C2&lt;=9</f>
        <v>1</v>
      </c>
    </row>
    <row r="3" spans="1:9">
      <c r="G3" s="7" t="s">
        <v>7</v>
      </c>
      <c r="H3" s="3">
        <f>B2+2*C2+D2</f>
        <v>7</v>
      </c>
      <c r="I3" s="3" t="b">
        <f>B2+2*C2+D2=7</f>
        <v>1</v>
      </c>
    </row>
    <row r="4" spans="1:9">
      <c r="G4" s="7" t="s">
        <v>8</v>
      </c>
      <c r="H4" s="3">
        <f>A2+D2</f>
        <v>16</v>
      </c>
      <c r="I4" s="3" t="b">
        <f>A2+D2&gt;=3</f>
        <v>1</v>
      </c>
    </row>
    <row r="5" spans="1:9">
      <c r="G5" s="7" t="s">
        <v>9</v>
      </c>
      <c r="H5" s="3">
        <f>A2+B2+C2+D2</f>
        <v>16</v>
      </c>
      <c r="I5" s="3" t="b">
        <f>A2+B2+C2+D2&gt;=0</f>
        <v>1</v>
      </c>
    </row>
  </sheetData>
  <mergeCells count="1">
    <mergeCell ref="G1:I1"/>
  </mergeCells>
  <conditionalFormatting sqref="I2:I5">
    <cfRule type="cellIs" dxfId="5" priority="5" operator="equal">
      <formula>FALSE</formula>
    </cfRule>
    <cfRule type="cellIs" dxfId="4" priority="6" operator="equal">
      <formula>TRUE</formula>
    </cfRule>
  </conditionalFormatting>
  <conditionalFormatting sqref="H3">
    <cfRule type="cellIs" dxfId="3" priority="3" operator="equal">
      <formula>FALSE</formula>
    </cfRule>
    <cfRule type="cellIs" dxfId="2" priority="4" operator="equal">
      <formula>TRUE</formula>
    </cfRule>
  </conditionalFormatting>
  <conditionalFormatting sqref="H4:H5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Laptev</dc:creator>
  <cp:lastModifiedBy>Egor Laptev</cp:lastModifiedBy>
  <dcterms:created xsi:type="dcterms:W3CDTF">2025-10-27T20:11:08Z</dcterms:created>
  <dcterms:modified xsi:type="dcterms:W3CDTF">2025-10-27T20:43:13Z</dcterms:modified>
</cp:coreProperties>
</file>